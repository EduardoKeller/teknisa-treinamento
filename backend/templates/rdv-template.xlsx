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/>
  <bookViews>
    <workbookView xWindow="480" yWindow="336" windowWidth="12120" windowHeight="7812"/>
  </bookViews>
  <sheets>
    <sheet name="Reembolso Despesas" sheetId="1" r:id="rId1"/>
    <sheet name="Tipo de Despesa" sheetId="2" r:id="rId2"/>
    <sheet name="Empresa" sheetId="3" r:id="rId3"/>
  </sheets>
  <definedNames>
    <definedName name="_xlnm.Print_Area" localSheetId="0">'Reembolso Despesas'!$A$1:$J$58</definedName>
    <definedName name="TIPO_DE_DESPESA">'Tipo de Despesa'!$A$2:$A$12</definedName>
  </definedNames>
  <calcPr calcId="145621" concurrentCalc="0"/>
</workbook>
</file>

<file path=xl/calcChain.xml><?xml version="1.0" encoding="utf-8"?>
<calcChain xmlns="http://schemas.openxmlformats.org/spreadsheetml/2006/main">
  <c r="J14" i="1" l="1"/>
  <c r="J15" i="1"/>
  <c r="J16" i="1"/>
  <c r="J13" i="1"/>
  <c r="J17" i="1"/>
  <c r="J41" i="1"/>
  <c r="J43" i="1"/>
  <c r="H47" i="1"/>
  <c r="H48" i="1"/>
</calcChain>
</file>

<file path=xl/sharedStrings.xml><?xml version="1.0" encoding="utf-8"?>
<sst xmlns="http://schemas.openxmlformats.org/spreadsheetml/2006/main" count="95" uniqueCount="75">
  <si>
    <t>QUILOMETRAGEM</t>
  </si>
  <si>
    <t>Valor</t>
  </si>
  <si>
    <t>TOTAL em R$</t>
  </si>
  <si>
    <t>TOTAL DE DESPESAS (REEMBOLSO QUILOMETRAGEM + DESPESAS GERAIS)</t>
  </si>
  <si>
    <t>APROVAÇÃO</t>
  </si>
  <si>
    <t>DADOS PARA DEPÓSITO</t>
  </si>
  <si>
    <t>CPF</t>
  </si>
  <si>
    <t>AGÊNCIA</t>
  </si>
  <si>
    <t>CONTA CORRENTE</t>
  </si>
  <si>
    <t>Alimentação</t>
  </si>
  <si>
    <t>Combustível</t>
  </si>
  <si>
    <t xml:space="preserve">Estacionamento </t>
  </si>
  <si>
    <t>Hospedagem</t>
  </si>
  <si>
    <t>Metrô / ônibus</t>
  </si>
  <si>
    <t>Outros</t>
  </si>
  <si>
    <t>Passagem</t>
  </si>
  <si>
    <t>Pedágio</t>
  </si>
  <si>
    <t>Táxi</t>
  </si>
  <si>
    <t>Telefone</t>
  </si>
  <si>
    <t>NOME DO COLABORADOR</t>
  </si>
  <si>
    <t>DISCRIMINAÇÃO DAS DESPESAS</t>
  </si>
  <si>
    <t>RELATÓRIO DE DESPESAS DE VIAGEM (RDV)</t>
  </si>
  <si>
    <t>SISTEMA DE GESTÃO DA QUALIDADE</t>
  </si>
  <si>
    <t>RADM 28</t>
  </si>
  <si>
    <t>Página 1 de 1</t>
  </si>
  <si>
    <t>NOME:</t>
  </si>
  <si>
    <t>EMPRESA</t>
  </si>
  <si>
    <t>UNOP/UG:</t>
  </si>
  <si>
    <t>PRATO FEITO</t>
  </si>
  <si>
    <t>VINHEDOS</t>
  </si>
  <si>
    <t>NUTRICLÍNICAS</t>
  </si>
  <si>
    <t>GUTEN APPETIT</t>
  </si>
  <si>
    <t>CIF</t>
  </si>
  <si>
    <t>VILLARE</t>
  </si>
  <si>
    <t>GOLLDEN FOOD</t>
  </si>
  <si>
    <t>GLOW</t>
  </si>
  <si>
    <t>MOTIVO DA VIAGEM</t>
  </si>
  <si>
    <t>DATA INICIAL:</t>
  </si>
  <si>
    <t>DATA FINAL:</t>
  </si>
  <si>
    <t>DATA</t>
  </si>
  <si>
    <t>TRAJETO</t>
  </si>
  <si>
    <t>KM</t>
  </si>
  <si>
    <t>VALOR</t>
  </si>
  <si>
    <t>TIPO DE DESPESA</t>
  </si>
  <si>
    <t>TOTAL EM R$</t>
  </si>
  <si>
    <t>DESCRIÇÃO DAS DESPESAS</t>
  </si>
  <si>
    <t>TOTAL RECEBIDO DE ADIANTAMENTO</t>
  </si>
  <si>
    <t>ASSINATURA</t>
  </si>
  <si>
    <t>TOTAL DE DESPESAS (Quilometragem + Despesas)</t>
  </si>
  <si>
    <t>NOME e NÚMERO DO BANCO</t>
  </si>
  <si>
    <t>COLABORADOR</t>
  </si>
  <si>
    <t>GERENTE/DIRETOR</t>
  </si>
  <si>
    <t>NOME COMPLETO</t>
  </si>
  <si>
    <t>VALOR DE REEMBOLSO PARA O COLABORADOR OU DEVOLUÇÃO PARA EMPRESA</t>
  </si>
  <si>
    <t>Revisão 07</t>
  </si>
  <si>
    <t>Eduardo Pasquali Keller</t>
  </si>
  <si>
    <t>Grupo Prato Feito</t>
  </si>
  <si>
    <t>TI</t>
  </si>
  <si>
    <t>Treinamento Teknisa, Guten</t>
  </si>
  <si>
    <t>Daniel Zitzke</t>
  </si>
  <si>
    <t>029.958.470-47</t>
  </si>
  <si>
    <t>19031492-9</t>
  </si>
  <si>
    <t>0260 - Nu Pagamentos S.A</t>
  </si>
  <si>
    <t>Janta</t>
  </si>
  <si>
    <t>Hotel Poa</t>
  </si>
  <si>
    <t>Aeroporto - dass 3</t>
  </si>
  <si>
    <t>Dass 4 - hotel</t>
  </si>
  <si>
    <t>Janta - referente a nota do hotel de itambé</t>
  </si>
  <si>
    <t>Almoço</t>
  </si>
  <si>
    <t>Hotel VDC</t>
  </si>
  <si>
    <t>Hotel - Aeroporto</t>
  </si>
  <si>
    <t>Almoço (aeroporto)</t>
  </si>
  <si>
    <t>Pedágios</t>
  </si>
  <si>
    <t>Café (aeroporto)</t>
  </si>
  <si>
    <t>Adiantamento (R$ 1000,00)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</si>
</sst>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2" formatCode="_(&quot;R$ &quot;* #,##0.00_);_(&quot;R$ &quot;* \(#,##0.00\);_(&quot;R$ &quot;* \-??_);_(@_)"/>
    <numFmt numFmtId="183" formatCode="&quot;R$ &quot;#,##0.00"/>
    <numFmt numFmtId="184" formatCode="dd/mm/yy;@"/>
  </numFmts>
  <fonts count="9" x14ac:knownFonts="1"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182" fontId="3" fillId="0" borderId="0" applyFont="0" applyFill="0" applyBorder="0" applyAlignment="0" applyProtection="0"/>
  </cellStyleXfs>
  <cellXfs count="125"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/>
    <xf numFmtId="182" fontId="6" fillId="0" borderId="1" xfId="1" applyFont="1" applyFill="1" applyBorder="1" applyAlignment="1" applyProtection="1">
      <alignment horizontal="center" vertical="center"/>
    </xf>
    <xf numFmtId="182" fontId="5" fillId="0" borderId="2" xfId="1" applyFont="1" applyFill="1" applyBorder="1" applyAlignment="1" applyProtection="1">
      <alignment horizontal="center" vertical="center"/>
    </xf>
    <xf numFmtId="182" fontId="6" fillId="0" borderId="3" xfId="1" applyFont="1" applyFill="1" applyBorder="1" applyAlignment="1" applyProtection="1">
      <alignment horizontal="center" vertical="center"/>
    </xf>
    <xf numFmtId="182" fontId="6" fillId="0" borderId="4" xfId="1" applyFont="1" applyFill="1" applyBorder="1" applyAlignment="1" applyProtection="1">
      <alignment horizontal="center" vertical="center"/>
    </xf>
    <xf numFmtId="0" fontId="5" fillId="0" borderId="5" xfId="0" applyFont="1" applyFill="1" applyBorder="1" applyAlignment="1" applyProtection="1">
      <alignment vertical="center"/>
    </xf>
    <xf numFmtId="0" fontId="8" fillId="0" borderId="6" xfId="0" applyFont="1" applyBorder="1" applyAlignment="1" applyProtection="1">
      <alignment horizontal="center" vertical="center" wrapText="1"/>
    </xf>
    <xf numFmtId="184" fontId="8" fillId="0" borderId="7" xfId="0" applyNumberFormat="1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10" xfId="0" applyFont="1" applyFill="1" applyBorder="1" applyAlignment="1" applyProtection="1">
      <alignment horizontal="center" vertical="center"/>
    </xf>
    <xf numFmtId="0" fontId="6" fillId="0" borderId="11" xfId="0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183" fontId="6" fillId="0" borderId="4" xfId="0" applyNumberFormat="1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vertical="center"/>
    </xf>
    <xf numFmtId="0" fontId="6" fillId="0" borderId="15" xfId="0" applyFont="1" applyFill="1" applyBorder="1" applyAlignment="1" applyProtection="1">
      <alignment horizontal="center" vertical="center"/>
    </xf>
    <xf numFmtId="184" fontId="5" fillId="0" borderId="16" xfId="0" applyNumberFormat="1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182" fontId="5" fillId="0" borderId="2" xfId="1" applyFont="1" applyFill="1" applyBorder="1" applyAlignment="1" applyProtection="1">
      <alignment horizontal="center" vertical="center"/>
      <protection locked="0"/>
    </xf>
    <xf numFmtId="184" fontId="5" fillId="0" borderId="18" xfId="0" applyNumberFormat="1" applyFont="1" applyBorder="1" applyAlignment="1" applyProtection="1">
      <alignment horizontal="center" vertical="center"/>
      <protection locked="0"/>
    </xf>
    <xf numFmtId="182" fontId="5" fillId="0" borderId="19" xfId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vertical="center"/>
    </xf>
    <xf numFmtId="0" fontId="5" fillId="0" borderId="15" xfId="0" applyFont="1" applyFill="1" applyBorder="1" applyAlignment="1" applyProtection="1">
      <alignment vertical="center"/>
    </xf>
    <xf numFmtId="0" fontId="5" fillId="0" borderId="20" xfId="0" applyFont="1" applyBorder="1" applyAlignment="1" applyProtection="1">
      <alignment vertical="center"/>
    </xf>
    <xf numFmtId="0" fontId="5" fillId="0" borderId="20" xfId="0" applyFont="1" applyFill="1" applyBorder="1" applyAlignment="1" applyProtection="1">
      <alignment vertical="center"/>
    </xf>
    <xf numFmtId="182" fontId="6" fillId="0" borderId="21" xfId="1" applyFont="1" applyFill="1" applyBorder="1" applyAlignment="1" applyProtection="1">
      <alignment horizontal="center" vertical="center"/>
    </xf>
    <xf numFmtId="0" fontId="5" fillId="0" borderId="21" xfId="0" applyFont="1" applyFill="1" applyBorder="1" applyAlignment="1" applyProtection="1">
      <alignment vertical="center"/>
    </xf>
    <xf numFmtId="0" fontId="5" fillId="0" borderId="20" xfId="0" applyFont="1" applyFill="1" applyBorder="1" applyProtection="1"/>
    <xf numFmtId="0" fontId="5" fillId="0" borderId="21" xfId="0" applyFont="1" applyFill="1" applyBorder="1" applyProtection="1"/>
    <xf numFmtId="0" fontId="5" fillId="0" borderId="21" xfId="0" applyFont="1" applyBorder="1" applyProtection="1"/>
    <xf numFmtId="0" fontId="6" fillId="0" borderId="20" xfId="0" applyFont="1" applyFill="1" applyBorder="1" applyAlignment="1" applyProtection="1">
      <alignment vertical="center"/>
    </xf>
    <xf numFmtId="0" fontId="5" fillId="2" borderId="22" xfId="0" applyFont="1" applyFill="1" applyBorder="1" applyAlignment="1" applyProtection="1">
      <alignment horizontal="center" vertical="center"/>
    </xf>
    <xf numFmtId="0" fontId="5" fillId="0" borderId="22" xfId="0" applyFont="1" applyFill="1" applyBorder="1" applyAlignment="1" applyProtection="1">
      <alignment vertical="center"/>
    </xf>
    <xf numFmtId="0" fontId="5" fillId="0" borderId="20" xfId="0" applyFont="1" applyBorder="1" applyProtection="1"/>
    <xf numFmtId="0" fontId="5" fillId="0" borderId="0" xfId="0" applyFont="1" applyBorder="1" applyProtection="1"/>
    <xf numFmtId="0" fontId="5" fillId="0" borderId="0" xfId="0" applyFont="1" applyProtection="1"/>
    <xf numFmtId="0" fontId="5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vertical="center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49" fontId="5" fillId="0" borderId="32" xfId="0" applyNumberFormat="1" applyFont="1" applyBorder="1" applyAlignment="1" applyProtection="1">
      <alignment horizontal="center" vertical="center"/>
      <protection locked="0"/>
    </xf>
    <xf numFmtId="49" fontId="5" fillId="0" borderId="34" xfId="0" applyNumberFormat="1" applyFont="1" applyBorder="1" applyAlignment="1" applyProtection="1">
      <alignment horizontal="center" vertical="center"/>
      <protection locked="0"/>
    </xf>
    <xf numFmtId="49" fontId="5" fillId="0" borderId="33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4" xfId="0" applyFont="1" applyBorder="1" applyAlignment="1" applyProtection="1">
      <alignment horizontal="center" vertical="center"/>
    </xf>
    <xf numFmtId="0" fontId="7" fillId="0" borderId="26" xfId="0" applyFont="1" applyBorder="1" applyAlignment="1" applyProtection="1">
      <alignment horizontal="center" vertical="center"/>
    </xf>
    <xf numFmtId="0" fontId="7" fillId="0" borderId="27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6" fillId="0" borderId="22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182" fontId="5" fillId="0" borderId="4" xfId="1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15" xfId="0" applyFont="1" applyFill="1" applyBorder="1" applyAlignment="1" applyProtection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</xf>
    <xf numFmtId="0" fontId="5" fillId="2" borderId="23" xfId="0" applyFont="1" applyFill="1" applyBorder="1" applyAlignment="1" applyProtection="1">
      <alignment horizontal="center" vertical="center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38" xfId="0" applyFont="1" applyFill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  <protection locked="0"/>
    </xf>
    <xf numFmtId="0" fontId="5" fillId="0" borderId="15" xfId="0" applyFont="1" applyFill="1" applyBorder="1" applyAlignment="1" applyProtection="1">
      <alignment horizontal="center" vertical="center"/>
      <protection locked="0"/>
    </xf>
    <xf numFmtId="182" fontId="5" fillId="0" borderId="4" xfId="1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 vertical="center"/>
    </xf>
    <xf numFmtId="0" fontId="6" fillId="3" borderId="23" xfId="0" applyFont="1" applyFill="1" applyBorder="1" applyAlignment="1" applyProtection="1">
      <alignment horizontal="center" vertical="center"/>
    </xf>
    <xf numFmtId="0" fontId="6" fillId="3" borderId="24" xfId="0" applyFont="1" applyFill="1" applyBorder="1" applyAlignment="1" applyProtection="1">
      <alignment horizontal="center" vertical="center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/>
    </xf>
    <xf numFmtId="0" fontId="6" fillId="0" borderId="26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3" borderId="20" xfId="0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center" vertical="center"/>
    </xf>
    <xf numFmtId="0" fontId="6" fillId="3" borderId="21" xfId="0" applyFont="1" applyFill="1" applyBorder="1" applyAlignment="1" applyProtection="1">
      <alignment horizontal="center" vertical="center"/>
    </xf>
    <xf numFmtId="0" fontId="6" fillId="0" borderId="30" xfId="0" applyFont="1" applyFill="1" applyBorder="1" applyAlignment="1" applyProtection="1">
      <alignment horizontal="center" vertical="center"/>
    </xf>
    <xf numFmtId="0" fontId="6" fillId="0" borderId="35" xfId="0" applyFont="1" applyFill="1" applyBorder="1" applyAlignment="1" applyProtection="1">
      <alignment horizontal="center" vertical="center"/>
    </xf>
    <xf numFmtId="0" fontId="6" fillId="0" borderId="31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0" borderId="30" xfId="0" applyFont="1" applyFill="1" applyBorder="1" applyAlignment="1" applyProtection="1">
      <alignment horizontal="center" vertical="center" wrapText="1"/>
    </xf>
    <xf numFmtId="0" fontId="6" fillId="0" borderId="35" xfId="0" applyFont="1" applyFill="1" applyBorder="1" applyAlignment="1" applyProtection="1">
      <alignment horizontal="center" vertical="center" wrapText="1"/>
    </xf>
    <xf numFmtId="0" fontId="6" fillId="0" borderId="31" xfId="0" applyFont="1" applyFill="1" applyBorder="1" applyAlignment="1" applyProtection="1">
      <alignment horizontal="center" vertical="center" wrapText="1"/>
    </xf>
    <xf numFmtId="49" fontId="5" fillId="0" borderId="23" xfId="0" applyNumberFormat="1" applyFont="1" applyFill="1" applyBorder="1" applyAlignment="1" applyProtection="1">
      <alignment horizontal="center" vertical="center"/>
      <protection locked="0"/>
    </xf>
    <xf numFmtId="49" fontId="5" fillId="0" borderId="15" xfId="0" applyNumberFormat="1" applyFont="1" applyFill="1" applyBorder="1" applyAlignment="1" applyProtection="1">
      <alignment horizontal="center" vertical="center"/>
      <protection locked="0"/>
    </xf>
    <xf numFmtId="49" fontId="5" fillId="0" borderId="24" xfId="0" applyNumberFormat="1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49" fontId="5" fillId="0" borderId="23" xfId="0" applyNumberFormat="1" applyFont="1" applyBorder="1" applyAlignment="1" applyProtection="1">
      <alignment horizontal="center"/>
      <protection locked="0"/>
    </xf>
    <xf numFmtId="49" fontId="5" fillId="0" borderId="24" xfId="0" applyNumberFormat="1" applyFont="1" applyBorder="1" applyAlignment="1" applyProtection="1">
      <alignment horizontal="center"/>
      <protection locked="0"/>
    </xf>
    <xf numFmtId="184" fontId="5" fillId="0" borderId="15" xfId="0" applyNumberFormat="1" applyFont="1" applyBorder="1" applyAlignment="1" applyProtection="1">
      <alignment horizontal="center" vertical="center"/>
      <protection locked="0"/>
    </xf>
    <xf numFmtId="18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</xf>
    <xf numFmtId="0" fontId="5" fillId="0" borderId="26" xfId="0" applyFont="1" applyBorder="1" applyAlignment="1" applyProtection="1">
      <alignment horizontal="left" vertical="center"/>
    </xf>
    <xf numFmtId="49" fontId="5" fillId="0" borderId="23" xfId="0" applyNumberFormat="1" applyFont="1" applyBorder="1" applyAlignment="1" applyProtection="1">
      <alignment horizontal="center" vertical="center"/>
      <protection locked="0"/>
    </xf>
    <xf numFmtId="49" fontId="5" fillId="0" borderId="15" xfId="0" applyNumberFormat="1" applyFont="1" applyBorder="1" applyAlignment="1" applyProtection="1">
      <alignment horizontal="center" vertical="center"/>
      <protection locked="0"/>
    </xf>
    <xf numFmtId="49" fontId="5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K58"/>
  <sheetViews>
    <sheetView showGridLines="0" tabSelected="1" view="pageBreakPreview" topLeftCell="A19" zoomScale="80" zoomScaleNormal="100" zoomScaleSheetLayoutView="80" workbookViewId="0">
      <selection activeCell="D36" sqref="D36:I36"/>
    </sheetView>
  </sheetViews>
  <sheetFormatPr defaultColWidth="0" defaultRowHeight="13.8" x14ac:dyDescent="0.25"/>
  <cols>
    <col min="1" max="3" width="12.6640625" style="46" customWidth="1"/>
    <col min="4" max="4" width="15.5546875" style="46" customWidth="1"/>
    <col min="5" max="7" width="12.6640625" style="46" customWidth="1"/>
    <col min="8" max="8" width="9.6640625" style="46" customWidth="1"/>
    <col min="9" max="10" width="12.6640625" style="46" customWidth="1"/>
    <col min="11" max="11" width="3" style="46" customWidth="1"/>
    <col min="12" max="16384" width="9.109375" style="46" hidden="1"/>
  </cols>
  <sheetData>
    <row r="1" spans="1:10" ht="15.75" customHeight="1" x14ac:dyDescent="0.25">
      <c r="A1" s="59" t="s">
        <v>22</v>
      </c>
      <c r="B1" s="60"/>
      <c r="C1" s="60"/>
      <c r="D1" s="60"/>
      <c r="E1" s="60"/>
      <c r="F1" s="60"/>
      <c r="G1" s="60"/>
      <c r="H1" s="60"/>
      <c r="I1" s="61"/>
      <c r="J1" s="11" t="s">
        <v>23</v>
      </c>
    </row>
    <row r="2" spans="1:10" ht="15.75" customHeight="1" x14ac:dyDescent="0.25">
      <c r="A2" s="62"/>
      <c r="B2" s="63"/>
      <c r="C2" s="63"/>
      <c r="D2" s="63"/>
      <c r="E2" s="63"/>
      <c r="F2" s="63"/>
      <c r="G2" s="63"/>
      <c r="H2" s="63"/>
      <c r="I2" s="64"/>
      <c r="J2" s="12">
        <v>43921</v>
      </c>
    </row>
    <row r="3" spans="1:10" ht="15.75" customHeight="1" x14ac:dyDescent="0.25">
      <c r="A3" s="104" t="s">
        <v>21</v>
      </c>
      <c r="B3" s="105"/>
      <c r="C3" s="105"/>
      <c r="D3" s="105"/>
      <c r="E3" s="105"/>
      <c r="F3" s="105"/>
      <c r="G3" s="105"/>
      <c r="H3" s="105"/>
      <c r="I3" s="106"/>
      <c r="J3" s="13" t="s">
        <v>54</v>
      </c>
    </row>
    <row r="4" spans="1:10" ht="15.75" customHeight="1" x14ac:dyDescent="0.25">
      <c r="A4" s="107"/>
      <c r="B4" s="108"/>
      <c r="C4" s="108"/>
      <c r="D4" s="108"/>
      <c r="E4" s="108"/>
      <c r="F4" s="108"/>
      <c r="G4" s="108"/>
      <c r="H4" s="108"/>
      <c r="I4" s="109"/>
      <c r="J4" s="14" t="s">
        <v>24</v>
      </c>
    </row>
    <row r="5" spans="1:10" x14ac:dyDescent="0.25">
      <c r="A5" s="44"/>
      <c r="B5" s="45"/>
      <c r="C5" s="45"/>
      <c r="D5" s="45"/>
      <c r="E5" s="45"/>
      <c r="F5" s="45"/>
      <c r="G5" s="45"/>
      <c r="H5" s="45"/>
      <c r="I5" s="45"/>
      <c r="J5" s="40"/>
    </row>
    <row r="6" spans="1:10" ht="19.95" customHeight="1" x14ac:dyDescent="0.25">
      <c r="A6" s="10" t="s">
        <v>25</v>
      </c>
      <c r="B6" s="101" t="s">
        <v>55</v>
      </c>
      <c r="C6" s="101"/>
      <c r="D6" s="101"/>
      <c r="E6" s="102"/>
      <c r="F6" s="101"/>
      <c r="G6" s="101"/>
      <c r="H6" s="101"/>
      <c r="I6" s="101"/>
      <c r="J6" s="103"/>
    </row>
    <row r="7" spans="1:10" ht="19.95" customHeight="1" x14ac:dyDescent="0.25">
      <c r="A7" s="15" t="s">
        <v>26</v>
      </c>
      <c r="B7" s="114" t="s">
        <v>56</v>
      </c>
      <c r="C7" s="115"/>
      <c r="D7" s="115"/>
      <c r="E7" s="16" t="s">
        <v>27</v>
      </c>
      <c r="F7" s="110" t="s">
        <v>57</v>
      </c>
      <c r="G7" s="110"/>
      <c r="H7" s="110"/>
      <c r="I7" s="110"/>
      <c r="J7" s="111"/>
    </row>
    <row r="8" spans="1:10" ht="19.95" customHeight="1" x14ac:dyDescent="0.25">
      <c r="A8" s="116" t="s">
        <v>36</v>
      </c>
      <c r="B8" s="117"/>
      <c r="C8" s="118" t="s">
        <v>58</v>
      </c>
      <c r="D8" s="118"/>
      <c r="E8" s="118"/>
      <c r="F8" s="119"/>
      <c r="G8" s="119"/>
      <c r="H8" s="118"/>
      <c r="I8" s="118"/>
      <c r="J8" s="120"/>
    </row>
    <row r="9" spans="1:10" ht="19.95" customHeight="1" x14ac:dyDescent="0.25">
      <c r="A9" s="121" t="s">
        <v>37</v>
      </c>
      <c r="B9" s="122"/>
      <c r="C9" s="112">
        <v>45967</v>
      </c>
      <c r="D9" s="112"/>
      <c r="E9" s="112"/>
      <c r="F9" s="123" t="s">
        <v>38</v>
      </c>
      <c r="G9" s="124"/>
      <c r="H9" s="112">
        <v>45970</v>
      </c>
      <c r="I9" s="112"/>
      <c r="J9" s="113"/>
    </row>
    <row r="10" spans="1:10" s="47" customFormat="1" ht="9" customHeight="1" x14ac:dyDescent="0.25">
      <c r="A10" s="43"/>
      <c r="B10" s="33"/>
      <c r="C10" s="33"/>
      <c r="D10" s="33"/>
      <c r="E10" s="33"/>
      <c r="F10" s="33"/>
      <c r="G10" s="33"/>
      <c r="H10" s="26"/>
      <c r="I10" s="26"/>
      <c r="J10" s="6"/>
    </row>
    <row r="11" spans="1:10" s="48" customFormat="1" ht="19.95" customHeight="1" x14ac:dyDescent="0.25">
      <c r="A11" s="91" t="s">
        <v>0</v>
      </c>
      <c r="B11" s="92"/>
      <c r="C11" s="92"/>
      <c r="D11" s="92"/>
      <c r="E11" s="92"/>
      <c r="F11" s="92"/>
      <c r="G11" s="92"/>
      <c r="H11" s="92"/>
      <c r="I11" s="92"/>
      <c r="J11" s="93"/>
    </row>
    <row r="12" spans="1:10" s="47" customFormat="1" ht="19.95" customHeight="1" x14ac:dyDescent="0.25">
      <c r="A12" s="17" t="s">
        <v>39</v>
      </c>
      <c r="B12" s="94" t="s">
        <v>40</v>
      </c>
      <c r="C12" s="95"/>
      <c r="D12" s="95"/>
      <c r="E12" s="95"/>
      <c r="F12" s="95"/>
      <c r="G12" s="95"/>
      <c r="H12" s="96"/>
      <c r="I12" s="18" t="s">
        <v>41</v>
      </c>
      <c r="J12" s="19" t="s">
        <v>42</v>
      </c>
    </row>
    <row r="13" spans="1:10" ht="19.95" customHeight="1" x14ac:dyDescent="0.25">
      <c r="A13" s="27"/>
      <c r="B13" s="53"/>
      <c r="C13" s="54"/>
      <c r="D13" s="54"/>
      <c r="E13" s="54"/>
      <c r="F13" s="54"/>
      <c r="G13" s="54"/>
      <c r="H13" s="55"/>
      <c r="I13" s="28"/>
      <c r="J13" s="7">
        <f>I13*0.75</f>
        <v>0</v>
      </c>
    </row>
    <row r="14" spans="1:10" ht="19.95" customHeight="1" x14ac:dyDescent="0.25">
      <c r="A14" s="27"/>
      <c r="B14" s="53"/>
      <c r="C14" s="54"/>
      <c r="D14" s="54"/>
      <c r="E14" s="54"/>
      <c r="F14" s="54"/>
      <c r="G14" s="54"/>
      <c r="H14" s="55"/>
      <c r="I14" s="28"/>
      <c r="J14" s="7">
        <f>I14*0.75</f>
        <v>0</v>
      </c>
    </row>
    <row r="15" spans="1:10" ht="19.95" customHeight="1" x14ac:dyDescent="0.25">
      <c r="A15" s="27"/>
      <c r="B15" s="53"/>
      <c r="C15" s="54"/>
      <c r="D15" s="54"/>
      <c r="E15" s="54"/>
      <c r="F15" s="54"/>
      <c r="G15" s="54"/>
      <c r="H15" s="55"/>
      <c r="I15" s="28"/>
      <c r="J15" s="7">
        <f>I15*0.75</f>
        <v>0</v>
      </c>
    </row>
    <row r="16" spans="1:10" ht="19.95" customHeight="1" x14ac:dyDescent="0.25">
      <c r="A16" s="27"/>
      <c r="B16" s="53"/>
      <c r="C16" s="54"/>
      <c r="D16" s="54"/>
      <c r="E16" s="54"/>
      <c r="F16" s="54"/>
      <c r="G16" s="54"/>
      <c r="H16" s="55"/>
      <c r="I16" s="28"/>
      <c r="J16" s="7">
        <f>I16*0.75</f>
        <v>0</v>
      </c>
    </row>
    <row r="17" spans="1:10" ht="19.95" customHeight="1" x14ac:dyDescent="0.25">
      <c r="A17" s="34"/>
      <c r="B17" s="20"/>
      <c r="C17" s="20"/>
      <c r="D17" s="20"/>
      <c r="E17" s="20"/>
      <c r="F17" s="20"/>
      <c r="G17" s="20"/>
      <c r="H17" s="69" t="s">
        <v>44</v>
      </c>
      <c r="I17" s="69"/>
      <c r="J17" s="9">
        <f>SUM(J13:J16)</f>
        <v>0</v>
      </c>
    </row>
    <row r="18" spans="1:10" s="47" customFormat="1" ht="9" customHeight="1" x14ac:dyDescent="0.25">
      <c r="A18" s="35"/>
      <c r="B18" s="32"/>
      <c r="C18" s="32"/>
      <c r="D18" s="32"/>
      <c r="E18" s="32"/>
      <c r="F18" s="32"/>
      <c r="G18" s="32"/>
      <c r="H18" s="21"/>
      <c r="I18" s="21"/>
      <c r="J18" s="36"/>
    </row>
    <row r="19" spans="1:10" s="47" customFormat="1" ht="19.95" customHeight="1" x14ac:dyDescent="0.25">
      <c r="A19" s="97" t="s">
        <v>20</v>
      </c>
      <c r="B19" s="97"/>
      <c r="C19" s="97"/>
      <c r="D19" s="97"/>
      <c r="E19" s="97"/>
      <c r="F19" s="97"/>
      <c r="G19" s="97"/>
      <c r="H19" s="97"/>
      <c r="I19" s="97"/>
      <c r="J19" s="97"/>
    </row>
    <row r="20" spans="1:10" s="49" customFormat="1" ht="19.95" customHeight="1" x14ac:dyDescent="0.25">
      <c r="A20" s="17" t="s">
        <v>39</v>
      </c>
      <c r="B20" s="94" t="s">
        <v>43</v>
      </c>
      <c r="C20" s="96"/>
      <c r="D20" s="98" t="s">
        <v>45</v>
      </c>
      <c r="E20" s="99"/>
      <c r="F20" s="99"/>
      <c r="G20" s="99"/>
      <c r="H20" s="99"/>
      <c r="I20" s="100"/>
      <c r="J20" s="19" t="s">
        <v>42</v>
      </c>
    </row>
    <row r="21" spans="1:10" ht="20.100000000000001" customHeight="1" x14ac:dyDescent="0.25">
      <c r="A21" s="27">
        <v>45967</v>
      </c>
      <c r="B21" s="51" t="s">
        <v>9</v>
      </c>
      <c r="C21" s="52"/>
      <c r="D21" s="53" t="s">
        <v>63</v>
      </c>
      <c r="E21" s="54"/>
      <c r="F21" s="54"/>
      <c r="G21" s="54"/>
      <c r="H21" s="54"/>
      <c r="I21" s="55"/>
      <c r="J21" s="29">
        <v>30</v>
      </c>
    </row>
    <row r="22" spans="1:10" ht="20.100000000000001" customHeight="1" x14ac:dyDescent="0.25">
      <c r="A22" s="27">
        <v>45968</v>
      </c>
      <c r="B22" s="51" t="s">
        <v>12</v>
      </c>
      <c r="C22" s="52"/>
      <c r="D22" s="53" t="s">
        <v>64</v>
      </c>
      <c r="E22" s="54"/>
      <c r="F22" s="54"/>
      <c r="G22" s="54"/>
      <c r="H22" s="54"/>
      <c r="I22" s="55"/>
      <c r="J22" s="29">
        <v>241</v>
      </c>
    </row>
    <row r="23" spans="1:10" ht="20.100000000000001" customHeight="1" x14ac:dyDescent="0.25">
      <c r="A23" s="27">
        <v>45967</v>
      </c>
      <c r="B23" s="51" t="s">
        <v>9</v>
      </c>
      <c r="C23" s="52"/>
      <c r="D23" s="53" t="s">
        <v>73</v>
      </c>
      <c r="E23" s="54"/>
      <c r="F23" s="54"/>
      <c r="G23" s="54"/>
      <c r="H23" s="54"/>
      <c r="I23" s="55"/>
      <c r="J23" s="29">
        <v>38.799999999999997</v>
      </c>
    </row>
    <row r="24" spans="1:10" ht="20.100000000000001" customHeight="1" x14ac:dyDescent="0.25">
      <c r="A24" s="27">
        <v>45968</v>
      </c>
      <c r="B24" s="51" t="s">
        <v>17</v>
      </c>
      <c r="C24" s="52"/>
      <c r="D24" s="53" t="s">
        <v>65</v>
      </c>
      <c r="E24" s="54"/>
      <c r="F24" s="54"/>
      <c r="G24" s="54"/>
      <c r="H24" s="54"/>
      <c r="I24" s="55"/>
      <c r="J24" s="29">
        <v>50</v>
      </c>
    </row>
    <row r="25" spans="1:10" ht="20.100000000000001" customHeight="1" x14ac:dyDescent="0.25">
      <c r="A25" s="27">
        <v>45968</v>
      </c>
      <c r="B25" s="51" t="s">
        <v>17</v>
      </c>
      <c r="C25" s="52"/>
      <c r="D25" s="53" t="s">
        <v>66</v>
      </c>
      <c r="E25" s="54"/>
      <c r="F25" s="54"/>
      <c r="G25" s="54"/>
      <c r="H25" s="54"/>
      <c r="I25" s="55"/>
      <c r="J25" s="29">
        <v>275</v>
      </c>
    </row>
    <row r="26" spans="1:10" ht="20.100000000000001" customHeight="1" x14ac:dyDescent="0.25">
      <c r="A26" s="27">
        <v>45968</v>
      </c>
      <c r="B26" s="51" t="s">
        <v>9</v>
      </c>
      <c r="C26" s="52"/>
      <c r="D26" s="53" t="s">
        <v>67</v>
      </c>
      <c r="E26" s="54"/>
      <c r="F26" s="54"/>
      <c r="G26" s="54"/>
      <c r="H26" s="54"/>
      <c r="I26" s="55"/>
      <c r="J26" s="29">
        <v>18</v>
      </c>
    </row>
    <row r="27" spans="1:10" ht="20.100000000000001" customHeight="1" x14ac:dyDescent="0.25">
      <c r="A27" s="27">
        <v>45969</v>
      </c>
      <c r="B27" s="51" t="s">
        <v>9</v>
      </c>
      <c r="C27" s="52"/>
      <c r="D27" s="53" t="s">
        <v>68</v>
      </c>
      <c r="E27" s="54"/>
      <c r="F27" s="54"/>
      <c r="G27" s="54"/>
      <c r="H27" s="54"/>
      <c r="I27" s="55"/>
      <c r="J27" s="29">
        <v>30</v>
      </c>
    </row>
    <row r="28" spans="1:10" ht="20.100000000000001" customHeight="1" x14ac:dyDescent="0.25">
      <c r="A28" s="27">
        <v>45969</v>
      </c>
      <c r="B28" s="51" t="s">
        <v>9</v>
      </c>
      <c r="C28" s="52"/>
      <c r="D28" s="53" t="s">
        <v>63</v>
      </c>
      <c r="E28" s="54"/>
      <c r="F28" s="54"/>
      <c r="G28" s="54"/>
      <c r="H28" s="54"/>
      <c r="I28" s="55"/>
      <c r="J28" s="29">
        <v>30</v>
      </c>
    </row>
    <row r="29" spans="1:10" ht="20.100000000000001" customHeight="1" x14ac:dyDescent="0.25">
      <c r="A29" s="27">
        <v>45969</v>
      </c>
      <c r="B29" s="51" t="s">
        <v>12</v>
      </c>
      <c r="C29" s="52"/>
      <c r="D29" s="53" t="s">
        <v>69</v>
      </c>
      <c r="E29" s="54"/>
      <c r="F29" s="54"/>
      <c r="G29" s="54"/>
      <c r="H29" s="54"/>
      <c r="I29" s="55"/>
      <c r="J29" s="29">
        <v>125</v>
      </c>
    </row>
    <row r="30" spans="1:10" ht="20.100000000000001" customHeight="1" x14ac:dyDescent="0.25">
      <c r="A30" s="27">
        <v>45970</v>
      </c>
      <c r="B30" s="51" t="s">
        <v>17</v>
      </c>
      <c r="C30" s="52"/>
      <c r="D30" s="53" t="s">
        <v>70</v>
      </c>
      <c r="E30" s="54"/>
      <c r="F30" s="54"/>
      <c r="G30" s="54"/>
      <c r="H30" s="54"/>
      <c r="I30" s="55"/>
      <c r="J30" s="29">
        <v>70</v>
      </c>
    </row>
    <row r="31" spans="1:10" ht="20.100000000000001" customHeight="1" x14ac:dyDescent="0.25">
      <c r="A31" s="27">
        <v>45970</v>
      </c>
      <c r="B31" s="51" t="s">
        <v>9</v>
      </c>
      <c r="C31" s="52"/>
      <c r="D31" s="53" t="s">
        <v>71</v>
      </c>
      <c r="E31" s="54"/>
      <c r="F31" s="54"/>
      <c r="G31" s="54"/>
      <c r="H31" s="54"/>
      <c r="I31" s="55"/>
      <c r="J31" s="29">
        <v>55.14</v>
      </c>
    </row>
    <row r="32" spans="1:10" ht="20.100000000000001" customHeight="1" x14ac:dyDescent="0.25">
      <c r="A32" s="27">
        <v>45970</v>
      </c>
      <c r="B32" s="51" t="s">
        <v>16</v>
      </c>
      <c r="C32" s="52"/>
      <c r="D32" s="53" t="s">
        <v>72</v>
      </c>
      <c r="E32" s="54"/>
      <c r="F32" s="54"/>
      <c r="G32" s="54"/>
      <c r="H32" s="54"/>
      <c r="I32" s="55"/>
      <c r="J32" s="29">
        <v>15.5</v>
      </c>
    </row>
    <row r="33" spans="1:10" ht="20.100000000000001" customHeight="1" x14ac:dyDescent="0.25">
      <c r="A33" s="30">
        <v>45967</v>
      </c>
      <c r="B33" s="51" t="s">
        <v>14</v>
      </c>
      <c r="C33" s="52"/>
      <c r="D33" s="53" t="s">
        <v>74</v>
      </c>
      <c r="E33" s="54"/>
      <c r="F33" s="54"/>
      <c r="G33" s="54"/>
      <c r="H33" s="54"/>
      <c r="I33" s="55"/>
      <c r="J33" s="31">
        <v>-1000</v>
      </c>
    </row>
    <row r="34" spans="1:10" ht="20.100000000000001" customHeight="1" x14ac:dyDescent="0.25">
      <c r="A34" s="30"/>
      <c r="B34" s="51"/>
      <c r="C34" s="52"/>
      <c r="D34" s="53"/>
      <c r="E34" s="54"/>
      <c r="F34" s="54"/>
      <c r="G34" s="54"/>
      <c r="H34" s="54"/>
      <c r="I34" s="55"/>
      <c r="J34" s="31"/>
    </row>
    <row r="35" spans="1:10" ht="20.100000000000001" customHeight="1" x14ac:dyDescent="0.25">
      <c r="A35" s="30"/>
      <c r="B35" s="51"/>
      <c r="C35" s="52"/>
      <c r="D35" s="53"/>
      <c r="E35" s="54"/>
      <c r="F35" s="54"/>
      <c r="G35" s="54"/>
      <c r="H35" s="54"/>
      <c r="I35" s="55"/>
      <c r="J35" s="31"/>
    </row>
    <row r="36" spans="1:10" ht="20.100000000000001" customHeight="1" x14ac:dyDescent="0.25">
      <c r="A36" s="30"/>
      <c r="B36" s="51"/>
      <c r="C36" s="52"/>
      <c r="D36" s="53"/>
      <c r="E36" s="54"/>
      <c r="F36" s="54"/>
      <c r="G36" s="54"/>
      <c r="H36" s="54"/>
      <c r="I36" s="55"/>
      <c r="J36" s="31"/>
    </row>
    <row r="37" spans="1:10" ht="20.100000000000001" customHeight="1" x14ac:dyDescent="0.25">
      <c r="A37" s="30"/>
      <c r="B37" s="51"/>
      <c r="C37" s="52"/>
      <c r="D37" s="53"/>
      <c r="E37" s="54"/>
      <c r="F37" s="54"/>
      <c r="G37" s="54"/>
      <c r="H37" s="54"/>
      <c r="I37" s="55"/>
      <c r="J37" s="31"/>
    </row>
    <row r="38" spans="1:10" ht="20.100000000000001" customHeight="1" x14ac:dyDescent="0.25">
      <c r="A38" s="30"/>
      <c r="B38" s="51"/>
      <c r="C38" s="52"/>
      <c r="D38" s="53"/>
      <c r="E38" s="54"/>
      <c r="F38" s="54"/>
      <c r="G38" s="54"/>
      <c r="H38" s="54"/>
      <c r="I38" s="55"/>
      <c r="J38" s="31"/>
    </row>
    <row r="39" spans="1:10" ht="20.100000000000001" customHeight="1" x14ac:dyDescent="0.25">
      <c r="A39" s="30"/>
      <c r="B39" s="51"/>
      <c r="C39" s="52"/>
      <c r="D39" s="53"/>
      <c r="E39" s="54"/>
      <c r="F39" s="54"/>
      <c r="G39" s="54"/>
      <c r="H39" s="54"/>
      <c r="I39" s="55"/>
      <c r="J39" s="31"/>
    </row>
    <row r="40" spans="1:10" ht="20.100000000000001" customHeight="1" x14ac:dyDescent="0.25">
      <c r="A40" s="30"/>
      <c r="B40" s="75"/>
      <c r="C40" s="76"/>
      <c r="D40" s="53"/>
      <c r="E40" s="54"/>
      <c r="F40" s="54"/>
      <c r="G40" s="54"/>
      <c r="H40" s="54"/>
      <c r="I40" s="55"/>
      <c r="J40" s="31"/>
    </row>
    <row r="41" spans="1:10" s="47" customFormat="1" ht="19.95" customHeight="1" x14ac:dyDescent="0.25">
      <c r="A41" s="35"/>
      <c r="B41" s="32"/>
      <c r="C41" s="32"/>
      <c r="D41" s="32"/>
      <c r="E41" s="32"/>
      <c r="F41" s="32"/>
      <c r="G41" s="32"/>
      <c r="H41" s="89" t="s">
        <v>2</v>
      </c>
      <c r="I41" s="90"/>
      <c r="J41" s="8">
        <f>SUM(J21:J40)</f>
        <v>-21.560000000000059</v>
      </c>
    </row>
    <row r="42" spans="1:10" s="47" customFormat="1" ht="9" customHeight="1" x14ac:dyDescent="0.25">
      <c r="A42" s="35"/>
      <c r="B42" s="32"/>
      <c r="C42" s="32"/>
      <c r="D42" s="32"/>
      <c r="E42" s="32"/>
      <c r="F42" s="32"/>
      <c r="G42" s="32"/>
      <c r="H42" s="21"/>
      <c r="I42" s="21"/>
      <c r="J42" s="36"/>
    </row>
    <row r="43" spans="1:10" s="47" customFormat="1" ht="19.95" customHeight="1" x14ac:dyDescent="0.25">
      <c r="A43" s="88" t="s">
        <v>3</v>
      </c>
      <c r="B43" s="88"/>
      <c r="C43" s="88"/>
      <c r="D43" s="88"/>
      <c r="E43" s="88"/>
      <c r="F43" s="88"/>
      <c r="G43" s="88"/>
      <c r="H43" s="88"/>
      <c r="I43" s="88"/>
      <c r="J43" s="22">
        <f>J17+J41</f>
        <v>-21.560000000000059</v>
      </c>
    </row>
    <row r="44" spans="1:10" s="47" customFormat="1" ht="9" customHeight="1" x14ac:dyDescent="0.25">
      <c r="A44" s="35"/>
      <c r="B44" s="32"/>
      <c r="C44" s="32"/>
      <c r="D44" s="32"/>
      <c r="E44" s="32"/>
      <c r="F44" s="32"/>
      <c r="G44" s="32"/>
      <c r="H44" s="32"/>
      <c r="I44" s="32"/>
      <c r="J44" s="37"/>
    </row>
    <row r="45" spans="1:10" s="47" customFormat="1" ht="19.95" customHeight="1" x14ac:dyDescent="0.25">
      <c r="A45" s="38"/>
      <c r="B45" s="77"/>
      <c r="C45" s="77"/>
      <c r="D45" s="77"/>
      <c r="E45" s="77"/>
      <c r="F45" s="77"/>
      <c r="G45" s="78"/>
      <c r="H45" s="23" t="s">
        <v>1</v>
      </c>
      <c r="I45" s="24"/>
      <c r="J45" s="39"/>
    </row>
    <row r="46" spans="1:10" ht="19.95" customHeight="1" x14ac:dyDescent="0.25">
      <c r="A46" s="79" t="s">
        <v>46</v>
      </c>
      <c r="B46" s="79"/>
      <c r="C46" s="79"/>
      <c r="D46" s="79"/>
      <c r="E46" s="79"/>
      <c r="F46" s="79"/>
      <c r="G46" s="79"/>
      <c r="H46" s="82">
        <v>0</v>
      </c>
      <c r="I46" s="82"/>
      <c r="J46" s="40"/>
    </row>
    <row r="47" spans="1:10" ht="19.95" customHeight="1" x14ac:dyDescent="0.25">
      <c r="A47" s="79" t="s">
        <v>48</v>
      </c>
      <c r="B47" s="79"/>
      <c r="C47" s="79"/>
      <c r="D47" s="79"/>
      <c r="E47" s="79"/>
      <c r="F47" s="79"/>
      <c r="G47" s="79"/>
      <c r="H47" s="68">
        <f>J43</f>
        <v>-21.560000000000059</v>
      </c>
      <c r="I47" s="68"/>
      <c r="J47" s="40"/>
    </row>
    <row r="48" spans="1:10" s="47" customFormat="1" ht="19.95" customHeight="1" x14ac:dyDescent="0.25">
      <c r="A48" s="69" t="s">
        <v>53</v>
      </c>
      <c r="B48" s="69"/>
      <c r="C48" s="69"/>
      <c r="D48" s="69"/>
      <c r="E48" s="69"/>
      <c r="F48" s="69"/>
      <c r="G48" s="69"/>
      <c r="H48" s="68">
        <f>H47-H46</f>
        <v>-21.560000000000059</v>
      </c>
      <c r="I48" s="68"/>
      <c r="J48" s="39"/>
    </row>
    <row r="49" spans="1:11" s="47" customFormat="1" ht="7.5" customHeight="1" x14ac:dyDescent="0.25">
      <c r="A49" s="35"/>
      <c r="B49" s="32"/>
      <c r="C49" s="32"/>
      <c r="D49" s="32"/>
      <c r="E49" s="32"/>
      <c r="F49" s="32"/>
      <c r="G49" s="32"/>
      <c r="H49" s="32"/>
      <c r="I49" s="32"/>
      <c r="J49" s="37"/>
    </row>
    <row r="50" spans="1:11" s="50" customFormat="1" ht="19.95" customHeight="1" x14ac:dyDescent="0.25">
      <c r="A50" s="83" t="s">
        <v>4</v>
      </c>
      <c r="B50" s="84"/>
      <c r="C50" s="84"/>
      <c r="D50" s="84"/>
      <c r="E50" s="84"/>
      <c r="F50" s="84"/>
      <c r="G50" s="84"/>
      <c r="H50" s="84"/>
      <c r="I50" s="84"/>
      <c r="J50" s="85"/>
      <c r="K50" s="21"/>
    </row>
    <row r="51" spans="1:11" s="50" customFormat="1" ht="19.95" customHeight="1" x14ac:dyDescent="0.25">
      <c r="A51" s="41"/>
      <c r="B51" s="25"/>
      <c r="C51" s="65" t="s">
        <v>50</v>
      </c>
      <c r="D51" s="66"/>
      <c r="E51" s="66"/>
      <c r="F51" s="67"/>
      <c r="G51" s="69" t="s">
        <v>51</v>
      </c>
      <c r="H51" s="69"/>
      <c r="I51" s="69"/>
      <c r="J51" s="69"/>
      <c r="K51" s="21"/>
    </row>
    <row r="52" spans="1:11" s="50" customFormat="1" ht="23.1" customHeight="1" x14ac:dyDescent="0.25">
      <c r="A52" s="65" t="s">
        <v>52</v>
      </c>
      <c r="B52" s="67"/>
      <c r="C52" s="56" t="s">
        <v>55</v>
      </c>
      <c r="D52" s="57"/>
      <c r="E52" s="57"/>
      <c r="F52" s="58"/>
      <c r="G52" s="80" t="s">
        <v>59</v>
      </c>
      <c r="H52" s="80"/>
      <c r="I52" s="80"/>
      <c r="J52" s="80"/>
      <c r="K52" s="21"/>
    </row>
    <row r="53" spans="1:11" s="50" customFormat="1" ht="23.1" customHeight="1" x14ac:dyDescent="0.25">
      <c r="A53" s="65" t="s">
        <v>47</v>
      </c>
      <c r="B53" s="67"/>
      <c r="C53" s="56"/>
      <c r="D53" s="57"/>
      <c r="E53" s="57"/>
      <c r="F53" s="58"/>
      <c r="G53" s="80"/>
      <c r="H53" s="80"/>
      <c r="I53" s="80"/>
      <c r="J53" s="80"/>
      <c r="K53" s="21"/>
    </row>
    <row r="54" spans="1:11" s="47" customFormat="1" ht="7.5" customHeight="1" x14ac:dyDescent="0.25">
      <c r="A54" s="35"/>
      <c r="B54" s="32"/>
      <c r="C54" s="32"/>
      <c r="D54" s="32"/>
      <c r="E54" s="32"/>
      <c r="F54" s="32"/>
      <c r="G54" s="32"/>
      <c r="H54" s="32"/>
      <c r="I54" s="32"/>
      <c r="J54" s="37"/>
    </row>
    <row r="55" spans="1:11" s="50" customFormat="1" ht="19.95" customHeight="1" x14ac:dyDescent="0.25">
      <c r="A55" s="83" t="s">
        <v>5</v>
      </c>
      <c r="B55" s="84"/>
      <c r="C55" s="84"/>
      <c r="D55" s="84"/>
      <c r="E55" s="84"/>
      <c r="F55" s="84"/>
      <c r="G55" s="84"/>
      <c r="H55" s="84"/>
      <c r="I55" s="84"/>
      <c r="J55" s="85"/>
    </row>
    <row r="56" spans="1:11" s="47" customFormat="1" ht="19.95" customHeight="1" x14ac:dyDescent="0.25">
      <c r="A56" s="71" t="s">
        <v>19</v>
      </c>
      <c r="B56" s="72"/>
      <c r="C56" s="72"/>
      <c r="D56" s="72"/>
      <c r="E56" s="73" t="s">
        <v>55</v>
      </c>
      <c r="F56" s="74"/>
      <c r="G56" s="74"/>
      <c r="H56" s="74"/>
      <c r="I56" s="74"/>
      <c r="J56" s="74"/>
    </row>
    <row r="57" spans="1:11" s="47" customFormat="1" ht="19.95" customHeight="1" x14ac:dyDescent="0.25">
      <c r="A57" s="42" t="s">
        <v>6</v>
      </c>
      <c r="B57" s="86" t="s">
        <v>60</v>
      </c>
      <c r="C57" s="86"/>
      <c r="D57" s="86"/>
      <c r="E57" s="70" t="s">
        <v>49</v>
      </c>
      <c r="F57" s="70"/>
      <c r="G57" s="70"/>
      <c r="H57" s="86" t="s">
        <v>62</v>
      </c>
      <c r="I57" s="86"/>
      <c r="J57" s="87"/>
    </row>
    <row r="58" spans="1:11" s="47" customFormat="1" ht="19.95" customHeight="1" x14ac:dyDescent="0.25">
      <c r="A58" s="43" t="s">
        <v>7</v>
      </c>
      <c r="B58" s="81">
        <v>1</v>
      </c>
      <c r="C58" s="81"/>
      <c r="D58" s="81"/>
      <c r="E58" s="70" t="s">
        <v>8</v>
      </c>
      <c r="F58" s="70"/>
      <c r="G58" s="70"/>
      <c r="H58" s="86" t="s">
        <v>61</v>
      </c>
      <c r="I58" s="86"/>
      <c r="J58" s="87"/>
    </row>
  </sheetData>
  <mergeCells count="88">
    <mergeCell ref="B6:J6"/>
    <mergeCell ref="A3:I4"/>
    <mergeCell ref="F7:J7"/>
    <mergeCell ref="H9:J9"/>
    <mergeCell ref="B7:D7"/>
    <mergeCell ref="A8:B8"/>
    <mergeCell ref="C8:J8"/>
    <mergeCell ref="A9:B9"/>
    <mergeCell ref="F9:G9"/>
    <mergeCell ref="C9:E9"/>
    <mergeCell ref="B20:C20"/>
    <mergeCell ref="B21:C21"/>
    <mergeCell ref="B22:C22"/>
    <mergeCell ref="B32:C32"/>
    <mergeCell ref="D32:I32"/>
    <mergeCell ref="D20:I20"/>
    <mergeCell ref="D21:I21"/>
    <mergeCell ref="D22:I22"/>
    <mergeCell ref="B24:C24"/>
    <mergeCell ref="B28:C28"/>
    <mergeCell ref="A11:J11"/>
    <mergeCell ref="B12:H12"/>
    <mergeCell ref="B25:C25"/>
    <mergeCell ref="B26:C26"/>
    <mergeCell ref="H17:I17"/>
    <mergeCell ref="B13:H13"/>
    <mergeCell ref="B14:H14"/>
    <mergeCell ref="A19:J19"/>
    <mergeCell ref="D24:I24"/>
    <mergeCell ref="D25:I25"/>
    <mergeCell ref="B31:C31"/>
    <mergeCell ref="D27:I27"/>
    <mergeCell ref="B35:C35"/>
    <mergeCell ref="D35:I35"/>
    <mergeCell ref="D28:I28"/>
    <mergeCell ref="B29:C29"/>
    <mergeCell ref="D29:I29"/>
    <mergeCell ref="B30:C30"/>
    <mergeCell ref="H58:J58"/>
    <mergeCell ref="A46:G46"/>
    <mergeCell ref="D26:I26"/>
    <mergeCell ref="A43:I43"/>
    <mergeCell ref="H41:I41"/>
    <mergeCell ref="H48:I48"/>
    <mergeCell ref="A50:J50"/>
    <mergeCell ref="B38:C38"/>
    <mergeCell ref="B27:C27"/>
    <mergeCell ref="D30:I30"/>
    <mergeCell ref="A47:G47"/>
    <mergeCell ref="G53:J53"/>
    <mergeCell ref="B58:D58"/>
    <mergeCell ref="E58:G58"/>
    <mergeCell ref="G51:J51"/>
    <mergeCell ref="H46:I46"/>
    <mergeCell ref="A55:J55"/>
    <mergeCell ref="G52:J52"/>
    <mergeCell ref="H57:J57"/>
    <mergeCell ref="B57:D57"/>
    <mergeCell ref="B37:C37"/>
    <mergeCell ref="D36:I36"/>
    <mergeCell ref="A52:B52"/>
    <mergeCell ref="A53:B53"/>
    <mergeCell ref="E57:G57"/>
    <mergeCell ref="A56:D56"/>
    <mergeCell ref="E56:J56"/>
    <mergeCell ref="B39:C39"/>
    <mergeCell ref="B40:C40"/>
    <mergeCell ref="B45:G45"/>
    <mergeCell ref="A48:G48"/>
    <mergeCell ref="D31:I31"/>
    <mergeCell ref="D37:I37"/>
    <mergeCell ref="B33:C33"/>
    <mergeCell ref="D33:I33"/>
    <mergeCell ref="B34:C34"/>
    <mergeCell ref="D34:I34"/>
    <mergeCell ref="D39:I39"/>
    <mergeCell ref="B36:C36"/>
    <mergeCell ref="D38:I38"/>
    <mergeCell ref="B23:C23"/>
    <mergeCell ref="D23:I23"/>
    <mergeCell ref="C53:F53"/>
    <mergeCell ref="A1:I2"/>
    <mergeCell ref="C51:F51"/>
    <mergeCell ref="C52:F52"/>
    <mergeCell ref="H47:I47"/>
    <mergeCell ref="B15:H15"/>
    <mergeCell ref="B16:H16"/>
    <mergeCell ref="D40:I40"/>
  </mergeCells>
  <phoneticPr fontId="0" type="noConversion"/>
  <dataValidations count="1">
    <dataValidation type="list" allowBlank="1" showInputMessage="1" showErrorMessage="1" sqref="B21:C40">
      <formula1>TIPO_DE_DESPESA</formula1>
    </dataValidation>
  </dataValidations>
  <printOptions horizontalCentered="1"/>
  <pageMargins left="0.19685039370078741" right="0.19685039370078741" top="0.31496062992125984" bottom="0" header="0.11811023622047245" footer="0.11811023622047245"/>
  <pageSetup paperSize="9" scale="75" firstPageNumber="0" fitToHeight="2" orientation="portrait" r:id="rId1"/>
  <headerFooter alignWithMargins="0">
    <oddHeader xml:space="preserve">&amp;C&amp;"Times New Roman,Negrito"
</oddHeader>
    <oddFooter xml:space="preserve">&amp;C&amp;"Times New Roman,Normal"&amp;12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12"/>
  <sheetViews>
    <sheetView showGridLines="0" workbookViewId="0">
      <selection activeCell="A2" sqref="A2:B12"/>
    </sheetView>
  </sheetViews>
  <sheetFormatPr defaultColWidth="9" defaultRowHeight="13.2" x14ac:dyDescent="0.25"/>
  <cols>
    <col min="1" max="1" width="16.6640625" customWidth="1"/>
  </cols>
  <sheetData>
    <row r="1" spans="1:1" x14ac:dyDescent="0.25">
      <c r="A1" t="s">
        <v>43</v>
      </c>
    </row>
    <row r="3" spans="1:1" x14ac:dyDescent="0.25">
      <c r="A3" s="1" t="s">
        <v>9</v>
      </c>
    </row>
    <row r="4" spans="1:1" x14ac:dyDescent="0.25">
      <c r="A4" s="1" t="s">
        <v>10</v>
      </c>
    </row>
    <row r="5" spans="1:1" x14ac:dyDescent="0.25">
      <c r="A5" s="1" t="s">
        <v>11</v>
      </c>
    </row>
    <row r="6" spans="1:1" x14ac:dyDescent="0.25">
      <c r="A6" s="1" t="s">
        <v>12</v>
      </c>
    </row>
    <row r="7" spans="1:1" x14ac:dyDescent="0.25">
      <c r="A7" s="4" t="s">
        <v>13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14</v>
      </c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13"/>
  <sheetViews>
    <sheetView showGridLines="0" workbookViewId="0">
      <selection activeCell="E20" sqref="E20"/>
    </sheetView>
  </sheetViews>
  <sheetFormatPr defaultColWidth="9" defaultRowHeight="13.2" x14ac:dyDescent="0.25"/>
  <cols>
    <col min="1" max="1" width="27.44140625" style="2" customWidth="1"/>
  </cols>
  <sheetData>
    <row r="1" spans="1:1" x14ac:dyDescent="0.25">
      <c r="A1" t="s">
        <v>26</v>
      </c>
    </row>
    <row r="3" spans="1:1" ht="13.8" x14ac:dyDescent="0.25">
      <c r="A3" s="5" t="s">
        <v>28</v>
      </c>
    </row>
    <row r="4" spans="1:1" ht="13.8" x14ac:dyDescent="0.25">
      <c r="A4" s="5" t="s">
        <v>29</v>
      </c>
    </row>
    <row r="5" spans="1:1" ht="13.8" x14ac:dyDescent="0.25">
      <c r="A5" s="5" t="s">
        <v>30</v>
      </c>
    </row>
    <row r="6" spans="1:1" ht="13.8" x14ac:dyDescent="0.25">
      <c r="A6" s="5" t="s">
        <v>31</v>
      </c>
    </row>
    <row r="7" spans="1:1" ht="13.8" x14ac:dyDescent="0.25">
      <c r="A7" s="5" t="s">
        <v>32</v>
      </c>
    </row>
    <row r="8" spans="1:1" ht="13.8" x14ac:dyDescent="0.25">
      <c r="A8" s="5" t="s">
        <v>33</v>
      </c>
    </row>
    <row r="9" spans="1:1" ht="13.8" x14ac:dyDescent="0.25">
      <c r="A9" s="5" t="s">
        <v>34</v>
      </c>
    </row>
    <row r="10" spans="1:1" ht="13.8" x14ac:dyDescent="0.25">
      <c r="A10" s="5" t="s">
        <v>35</v>
      </c>
    </row>
    <row r="11" spans="1:1" x14ac:dyDescent="0.25">
      <c r="A11" s="3"/>
    </row>
    <row r="12" spans="1:1" x14ac:dyDescent="0.25">
      <c r="A12" s="3"/>
    </row>
    <row r="13" spans="1:1" x14ac:dyDescent="0.25">
      <c r="A13" s="3"/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Reembolso Despesas</vt:lpstr>
      <vt:lpstr>Tipo de Despesa</vt:lpstr>
      <vt:lpstr>Empresa</vt:lpstr>
      <vt:lpstr>'Reembolso Despesas'!Area_de_impressao</vt:lpstr>
      <vt:lpstr>TIPO_DE_DESPESA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Ribeiro</dc:creator>
  <cp:lastModifiedBy>Eduardo Pasquali Keller epk.</cp:lastModifiedBy>
  <cp:revision>1</cp:revision>
  <cp:lastPrinted>2025-11-24T11:27:26Z</cp:lastPrinted>
  <dcterms:created xsi:type="dcterms:W3CDTF">2002-05-02T18:59:08Z</dcterms:created>
  <dcterms:modified xsi:type="dcterms:W3CDTF">2026-09-21T14:45:10Z</dcterms:modified>
</cp:coreProperties>
</file>